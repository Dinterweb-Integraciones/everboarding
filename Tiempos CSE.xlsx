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1'!$A$1:$T$33</definedName>
  </definedNames>
  <calcPr/>
</workbook>
</file>

<file path=xl/sharedStrings.xml><?xml version="1.0" encoding="utf-8"?>
<sst xmlns="http://schemas.openxmlformats.org/spreadsheetml/2006/main" count="110" uniqueCount="61">
  <si>
    <t>CS</t>
  </si>
  <si>
    <t>Cuenta</t>
  </si>
  <si>
    <t>Tipo de servicio</t>
  </si>
  <si>
    <t>Créditos contratados</t>
  </si>
  <si>
    <t>Créditos disponibles</t>
  </si>
  <si>
    <t>Créditos en Planificación</t>
  </si>
  <si>
    <t>Créditos en Ejecución</t>
  </si>
  <si>
    <t>Créditos restantes</t>
  </si>
  <si>
    <t>Créditos en evaluación</t>
  </si>
  <si>
    <t>Creditos completados</t>
  </si>
  <si>
    <t>Fecha de inicio del ciclo</t>
  </si>
  <si>
    <t>Fecha de vencimiento de créditos</t>
  </si>
  <si>
    <t>No. de clientes</t>
  </si>
  <si>
    <t>Creditos recurrentes</t>
  </si>
  <si>
    <t>Creditos paquetes</t>
  </si>
  <si>
    <t>Total Créditos Contratados</t>
  </si>
  <si>
    <t>%</t>
  </si>
  <si>
    <t>Tota créditos restantes</t>
  </si>
  <si>
    <t>Total créditos completados</t>
  </si>
  <si>
    <t>Horas semanales</t>
  </si>
  <si>
    <t>Créditos semanales</t>
  </si>
  <si>
    <t>Créditos mensuales</t>
  </si>
  <si>
    <t>Naty</t>
  </si>
  <si>
    <t>Growth Strategy - Planet Solar</t>
  </si>
  <si>
    <t>recurrente</t>
  </si>
  <si>
    <t>-</t>
  </si>
  <si>
    <t>Tiempos CSE</t>
  </si>
  <si>
    <t>Quick</t>
  </si>
  <si>
    <t>Alia</t>
  </si>
  <si>
    <t>Dentisalud</t>
  </si>
  <si>
    <t>Datacom</t>
  </si>
  <si>
    <t>paquete</t>
  </si>
  <si>
    <t>Implementación - Seguros gyt</t>
  </si>
  <si>
    <t>El Cortijo de la Sierra</t>
  </si>
  <si>
    <t>Kukan Cloud</t>
  </si>
  <si>
    <t>iOriggen</t>
  </si>
  <si>
    <t>Caro</t>
  </si>
  <si>
    <t>Growth Strategy - Autotodo Mexicana</t>
  </si>
  <si>
    <t>Growth Strategy - AMVO</t>
  </si>
  <si>
    <t>Growth Strategy - Centro Médico ABC</t>
  </si>
  <si>
    <t>Grupo Casazo - EDental</t>
  </si>
  <si>
    <t>ICE CARE</t>
  </si>
  <si>
    <t>Inspira</t>
  </si>
  <si>
    <t>Loop Sales Transformation - Panafoto</t>
  </si>
  <si>
    <t>Ingenes</t>
  </si>
  <si>
    <t>COCINARIO</t>
  </si>
  <si>
    <t>Marí</t>
  </si>
  <si>
    <t>Growth Strategy - Prodesa</t>
  </si>
  <si>
    <t>Loop Transformation - Hogares Union</t>
  </si>
  <si>
    <t>Loop Sales Transformation - UCI</t>
  </si>
  <si>
    <t>Humpec</t>
  </si>
  <si>
    <t>Graphic Solutions International</t>
  </si>
  <si>
    <t>Xime</t>
  </si>
  <si>
    <t>Tiendas Daka</t>
  </si>
  <si>
    <t>Café Britt</t>
  </si>
  <si>
    <t>Casas tecnourbe</t>
  </si>
  <si>
    <t>Grupo Emérita</t>
  </si>
  <si>
    <t>Compucloude</t>
  </si>
  <si>
    <t>EZDocuAI</t>
  </si>
  <si>
    <t>Difusion textil</t>
  </si>
  <si>
    <t>Britt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</si>
</sst>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23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2" fillId="2" fontId="1" numFmtId="0" xfId="0" applyAlignment="1" applyBorder="1" applyFill="1" applyFont="1">
      <alignment shrinkToFit="0" vertical="bottom" wrapText="1"/>
    </xf>
    <xf borderId="2" fillId="3" fontId="1" numFmtId="0" xfId="0" applyAlignment="1" applyBorder="1" applyFill="1" applyFont="1">
      <alignment shrinkToFit="0" vertical="bottom" wrapText="1"/>
    </xf>
    <xf borderId="3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0" fillId="0" fontId="2" numFmtId="1" xfId="0" applyAlignment="1" applyFont="1" applyNumberFormat="1">
      <alignment vertical="bottom"/>
    </xf>
    <xf borderId="5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6" fillId="0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vertical="bottom"/>
    </xf>
    <xf borderId="7" fillId="0" fontId="2" numFmtId="3" xfId="0" applyAlignment="1" applyBorder="1" applyFont="1" applyNumberFormat="1">
      <alignment shrinkToFit="0" vertical="bottom" wrapText="1"/>
    </xf>
    <xf borderId="7" fillId="0" fontId="2" numFmtId="164" xfId="0" applyAlignment="1" applyBorder="1" applyFont="1" applyNumberFormat="1">
      <alignment vertical="bottom"/>
    </xf>
    <xf borderId="8" fillId="0" fontId="2" numFmtId="0" xfId="0" applyAlignment="1" applyBorder="1" applyFont="1">
      <alignment horizontal="right" vertical="bottom"/>
    </xf>
    <xf borderId="8" fillId="0" fontId="2" numFmtId="3" xfId="0" applyAlignment="1" applyBorder="1" applyFont="1" applyNumberFormat="1">
      <alignment horizontal="right" vertical="bottom"/>
    </xf>
    <xf borderId="8" fillId="0" fontId="2" numFmtId="3" xfId="0" applyAlignment="1" applyBorder="1" applyFont="1" applyNumberFormat="1">
      <alignment horizontal="right" readingOrder="0" vertical="bottom"/>
    </xf>
    <xf borderId="9" fillId="0" fontId="2" numFmtId="3" xfId="0" applyAlignment="1" applyBorder="1" applyFont="1" applyNumberFormat="1">
      <alignment horizontal="right" vertical="bottom"/>
    </xf>
    <xf borderId="8" fillId="0" fontId="2" numFmtId="1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5" fillId="0" fontId="2" numFmtId="1" xfId="0" applyAlignment="1" applyBorder="1" applyFont="1" applyNumberFormat="1">
      <alignment horizontal="right" vertical="bottom"/>
    </xf>
    <xf borderId="11" fillId="0" fontId="3" numFmtId="0" xfId="0" applyBorder="1" applyFont="1"/>
    <xf borderId="5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vertical="bottom"/>
    </xf>
    <xf borderId="5" fillId="0" fontId="2" numFmtId="3" xfId="0" applyAlignment="1" applyBorder="1" applyFont="1" applyNumberFormat="1">
      <alignment shrinkToFit="0" vertical="bottom" wrapText="1"/>
    </xf>
    <xf borderId="5" fillId="3" fontId="2" numFmtId="0" xfId="0" applyAlignment="1" applyBorder="1" applyFill="1" applyFont="1">
      <alignment vertical="bottom"/>
    </xf>
    <xf borderId="5" fillId="0" fontId="2" numFmtId="164" xfId="0" applyAlignment="1" applyBorder="1" applyFont="1" applyNumberFormat="1">
      <alignment vertical="bottom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2" fontId="2" numFmtId="0" xfId="0" applyAlignment="1" applyBorder="1" applyFill="1" applyFont="1">
      <alignment vertical="bottom"/>
    </xf>
    <xf borderId="15" fillId="0" fontId="3" numFmtId="0" xfId="0" applyBorder="1" applyFont="1"/>
    <xf borderId="16" fillId="0" fontId="2" numFmtId="0" xfId="0" applyAlignment="1" applyBorder="1" applyFont="1">
      <alignment shrinkToFit="0" vertical="bottom" wrapText="1"/>
    </xf>
    <xf borderId="16" fillId="0" fontId="2" numFmtId="0" xfId="0" applyAlignment="1" applyBorder="1" applyFont="1">
      <alignment vertical="bottom"/>
    </xf>
    <xf borderId="16" fillId="0" fontId="2" numFmtId="3" xfId="0" applyAlignment="1" applyBorder="1" applyFont="1" applyNumberFormat="1">
      <alignment shrinkToFit="0" vertical="bottom" wrapText="1"/>
    </xf>
    <xf borderId="16" fillId="2" fontId="2" numFmtId="0" xfId="0" applyAlignment="1" applyBorder="1" applyFill="1" applyFont="1">
      <alignment vertical="bottom"/>
    </xf>
    <xf borderId="16" fillId="0" fontId="2" numFmtId="164" xfId="0" applyAlignment="1" applyBorder="1" applyFont="1" applyNumberFormat="1">
      <alignment vertical="bottom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7" fillId="4" fontId="2" numFmtId="0" xfId="0" applyAlignment="1" applyBorder="1" applyFill="1" applyFont="1">
      <alignment vertical="bottom"/>
    </xf>
    <xf borderId="7" fillId="2" fontId="2" numFmtId="0" xfId="0" applyAlignment="1" applyBorder="1" applyFill="1" applyFont="1">
      <alignment vertical="bottom"/>
    </xf>
    <xf borderId="5" fillId="0" fontId="4" numFmtId="0" xfId="0" applyAlignment="1" applyBorder="1" applyFont="1">
      <alignment shrinkToFit="0" vertical="bottom" wrapText="1"/>
    </xf>
    <xf borderId="5" fillId="4" fontId="2" numFmtId="0" xfId="0" applyAlignment="1" applyBorder="1" applyFill="1" applyFont="1">
      <alignment vertical="bottom"/>
    </xf>
    <xf borderId="11" fillId="0" fontId="2" numFmtId="0" xfId="0" applyAlignment="1" applyBorder="1" applyFont="1">
      <alignment shrinkToFit="0" vertical="bottom" wrapText="1"/>
    </xf>
    <xf borderId="20" fillId="0" fontId="2" numFmtId="0" xfId="0" applyAlignment="1" applyBorder="1" applyFont="1">
      <alignment shrinkToFit="0" vertical="bottom" wrapText="1"/>
    </xf>
    <xf borderId="20" fillId="0" fontId="2" numFmtId="0" xfId="0" applyAlignment="1" applyBorder="1" applyFont="1">
      <alignment vertical="bottom"/>
    </xf>
    <xf borderId="20" fillId="0" fontId="2" numFmtId="3" xfId="0" applyAlignment="1" applyBorder="1" applyFont="1" applyNumberFormat="1">
      <alignment shrinkToFit="0" vertical="bottom" wrapText="1"/>
    </xf>
    <xf borderId="20" fillId="2" fontId="2" numFmtId="0" xfId="0" applyAlignment="1" applyBorder="1" applyFill="1" applyFont="1">
      <alignment vertical="bottom"/>
    </xf>
    <xf borderId="20" fillId="0" fontId="2" numFmtId="164" xfId="0" applyAlignment="1" applyBorder="1" applyFont="1" applyNumberFormat="1">
      <alignment vertical="bottom"/>
    </xf>
    <xf borderId="12" fillId="0" fontId="2" numFmtId="0" xfId="0" applyAlignment="1" applyBorder="1" applyFont="1">
      <alignment horizontal="right" vertical="bottom"/>
    </xf>
    <xf borderId="12" fillId="0" fontId="2" numFmtId="3" xfId="0" applyAlignment="1" applyBorder="1" applyFont="1" applyNumberFormat="1">
      <alignment horizontal="right" vertical="bottom"/>
    </xf>
    <xf borderId="13" fillId="0" fontId="2" numFmtId="3" xfId="0" applyAlignment="1" applyBorder="1" applyFont="1" applyNumberFormat="1">
      <alignment horizontal="right" vertical="bottom"/>
    </xf>
    <xf borderId="12" fillId="0" fontId="2" numFmtId="1" xfId="0" applyAlignment="1" applyBorder="1" applyFont="1" applyNumberFormat="1">
      <alignment horizontal="right" vertical="bottom"/>
    </xf>
    <xf borderId="14" fillId="0" fontId="2" numFmtId="0" xfId="0" applyAlignment="1" applyBorder="1" applyFont="1">
      <alignment horizontal="right" vertical="bottom"/>
    </xf>
    <xf borderId="5" fillId="5" fontId="2" numFmtId="0" xfId="0" applyAlignment="1" applyBorder="1" applyFill="1" applyFont="1">
      <alignment vertical="bottom"/>
    </xf>
    <xf borderId="21" fillId="0" fontId="2" numFmtId="0" xfId="0" applyAlignment="1" applyBorder="1" applyFont="1">
      <alignment shrinkToFit="0" vertical="bottom" wrapText="1"/>
    </xf>
    <xf borderId="21" fillId="0" fontId="2" numFmtId="0" xfId="0" applyAlignment="1" applyBorder="1" applyFont="1">
      <alignment vertical="bottom"/>
    </xf>
    <xf borderId="21" fillId="0" fontId="2" numFmtId="3" xfId="0" applyAlignment="1" applyBorder="1" applyFont="1" applyNumberFormat="1">
      <alignment shrinkToFit="0" vertical="bottom" wrapText="1"/>
    </xf>
    <xf borderId="21" fillId="4" fontId="2" numFmtId="0" xfId="0" applyAlignment="1" applyBorder="1" applyFill="1" applyFont="1">
      <alignment vertical="bottom"/>
    </xf>
    <xf borderId="21" fillId="2" fontId="2" numFmtId="0" xfId="0" applyAlignment="1" applyBorder="1" applyFill="1" applyFont="1">
      <alignment vertical="bottom"/>
    </xf>
    <xf borderId="21" fillId="0" fontId="2" numFmtId="164" xfId="0" applyAlignment="1" applyBorder="1" applyFont="1" applyNumberFormat="1">
      <alignment vertical="bottom"/>
    </xf>
    <xf borderId="20" fillId="0" fontId="3" numFmtId="0" xfId="0" applyBorder="1" applyFont="1"/>
    <xf borderId="2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10.75"/>
    <col customWidth="1" min="4" max="4" width="13.25"/>
    <col customWidth="1" min="5" max="5" width="13.38"/>
    <col customWidth="1" min="6" max="6" width="14.13"/>
    <col customWidth="1" min="10" max="10" width="14.13"/>
    <col customWidth="1" min="11" max="11" width="13.75"/>
    <col customWidth="1" min="12" max="12" width="13.25"/>
    <col customWidth="1" min="13" max="13" width="10.25"/>
    <col customWidth="1" min="15" max="15" width="11.38"/>
    <col customWidth="1" min="16" max="16" width="13.5"/>
    <col customWidth="1" min="17" max="17" width="9.75"/>
    <col customWidth="1" min="18" max="18" width="11.38"/>
    <col customWidth="1" min="19" max="19" width="8.75"/>
    <col customWidth="1" min="20" max="20" width="14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2" t="s">
        <v>16</v>
      </c>
      <c r="R1" s="2" t="s">
        <v>17</v>
      </c>
      <c r="S1" s="2" t="s">
        <v>16</v>
      </c>
      <c r="T1" s="6" t="s">
        <v>18</v>
      </c>
      <c r="U1" s="7"/>
      <c r="V1" s="8" t="s">
        <v>16</v>
      </c>
      <c r="W1" s="8" t="s">
        <v>19</v>
      </c>
      <c r="X1" s="8" t="s">
        <v>20</v>
      </c>
      <c r="Y1" s="8" t="s">
        <v>21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>
      <c r="A2" s="10" t="s">
        <v>22</v>
      </c>
      <c r="B2" s="11" t="s">
        <v>23</v>
      </c>
      <c r="C2" s="12" t="s">
        <v>24</v>
      </c>
      <c r="D2" s="13">
        <v>140.0</v>
      </c>
      <c r="E2" s="12">
        <v>14.0</v>
      </c>
      <c r="F2" s="12">
        <v>41.0</v>
      </c>
      <c r="G2" s="12">
        <v>72.0</v>
      </c>
      <c r="H2" s="12">
        <f t="shared" ref="H2:H33" si="1">E2+F2+G2</f>
        <v>127</v>
      </c>
      <c r="I2" s="12">
        <v>75.0</v>
      </c>
      <c r="J2" s="12">
        <v>288.0</v>
      </c>
      <c r="K2" s="14">
        <v>46152.0</v>
      </c>
      <c r="L2" s="12" t="s">
        <v>25</v>
      </c>
      <c r="M2" s="15">
        <v>9.0</v>
      </c>
      <c r="N2" s="16">
        <f>D2+D3+D4+D5</f>
        <v>340</v>
      </c>
      <c r="O2" s="17" t="s">
        <v>26</v>
      </c>
      <c r="P2" s="18" t="str">
        <f>N2+O2</f>
        <v>#VALUE!</v>
      </c>
      <c r="Q2" s="19" t="str">
        <f>P2*100/$Y$2</f>
        <v>#VALUE!</v>
      </c>
      <c r="R2" s="15">
        <f>SUM(H2:H10)</f>
        <v>579</v>
      </c>
      <c r="S2" s="19">
        <f>R2*100/$Y$2</f>
        <v>55.6773598</v>
      </c>
      <c r="T2" s="20">
        <f>SUM(J2:J10)</f>
        <v>782</v>
      </c>
      <c r="U2" s="7"/>
      <c r="V2" s="21">
        <v>100.0</v>
      </c>
      <c r="W2" s="21">
        <v>40.0</v>
      </c>
      <c r="X2" s="21">
        <f t="shared" ref="X2:X5" si="2">W2*6</f>
        <v>240</v>
      </c>
      <c r="Y2" s="22">
        <f t="shared" ref="Y2:Y5" si="3">X2*4.333</f>
        <v>1039.92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>
      <c r="A3" s="23"/>
      <c r="B3" s="24" t="s">
        <v>27</v>
      </c>
      <c r="C3" s="25" t="s">
        <v>24</v>
      </c>
      <c r="D3" s="26">
        <v>60.0</v>
      </c>
      <c r="E3" s="27">
        <v>0.0</v>
      </c>
      <c r="F3" s="25">
        <v>9.0</v>
      </c>
      <c r="G3" s="25">
        <v>46.0</v>
      </c>
      <c r="H3" s="25">
        <f t="shared" si="1"/>
        <v>55</v>
      </c>
      <c r="I3" s="25">
        <v>109.0</v>
      </c>
      <c r="J3" s="25">
        <v>65.0</v>
      </c>
      <c r="K3" s="28">
        <v>46157.0</v>
      </c>
      <c r="L3" s="25" t="s">
        <v>25</v>
      </c>
      <c r="M3" s="29"/>
      <c r="N3" s="29"/>
      <c r="O3" s="29"/>
      <c r="P3" s="30"/>
      <c r="Q3" s="29"/>
      <c r="R3" s="29"/>
      <c r="S3" s="29"/>
      <c r="T3" s="31"/>
      <c r="U3" s="7"/>
      <c r="V3" s="21">
        <v>80.0</v>
      </c>
      <c r="W3" s="21">
        <f t="shared" ref="W3:W5" si="4">V3*W2/V2</f>
        <v>32</v>
      </c>
      <c r="X3" s="21">
        <f t="shared" si="2"/>
        <v>192</v>
      </c>
      <c r="Y3" s="22">
        <f t="shared" si="3"/>
        <v>831.936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>
      <c r="A4" s="23"/>
      <c r="B4" s="24" t="s">
        <v>28</v>
      </c>
      <c r="C4" s="25" t="s">
        <v>24</v>
      </c>
      <c r="D4" s="26">
        <v>60.0</v>
      </c>
      <c r="E4" s="25">
        <v>60.0</v>
      </c>
      <c r="F4" s="25">
        <v>47.0</v>
      </c>
      <c r="G4" s="25">
        <v>42.0</v>
      </c>
      <c r="H4" s="32">
        <f t="shared" si="1"/>
        <v>149</v>
      </c>
      <c r="I4" s="25">
        <v>110.0</v>
      </c>
      <c r="J4" s="25">
        <v>51.0</v>
      </c>
      <c r="K4" s="28">
        <v>46184.0</v>
      </c>
      <c r="L4" s="25" t="s">
        <v>25</v>
      </c>
      <c r="M4" s="29"/>
      <c r="N4" s="29"/>
      <c r="O4" s="29"/>
      <c r="P4" s="30"/>
      <c r="Q4" s="29"/>
      <c r="R4" s="29"/>
      <c r="S4" s="29"/>
      <c r="T4" s="31"/>
      <c r="U4" s="7"/>
      <c r="V4" s="21">
        <v>70.0</v>
      </c>
      <c r="W4" s="21">
        <f t="shared" si="4"/>
        <v>28</v>
      </c>
      <c r="X4" s="21">
        <f t="shared" si="2"/>
        <v>168</v>
      </c>
      <c r="Y4" s="22">
        <f t="shared" si="3"/>
        <v>727.944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>
      <c r="A5" s="23"/>
      <c r="B5" s="24" t="s">
        <v>29</v>
      </c>
      <c r="C5" s="25" t="s">
        <v>24</v>
      </c>
      <c r="D5" s="26">
        <v>80.0</v>
      </c>
      <c r="E5" s="27">
        <v>0.0</v>
      </c>
      <c r="F5" s="27">
        <v>0.0</v>
      </c>
      <c r="G5" s="27">
        <v>0.0</v>
      </c>
      <c r="H5" s="27">
        <f t="shared" si="1"/>
        <v>0</v>
      </c>
      <c r="I5" s="25">
        <v>137.0</v>
      </c>
      <c r="J5" s="25">
        <v>100.0</v>
      </c>
      <c r="K5" s="28">
        <v>46202.0</v>
      </c>
      <c r="L5" s="25" t="s">
        <v>25</v>
      </c>
      <c r="M5" s="29"/>
      <c r="N5" s="29"/>
      <c r="O5" s="29"/>
      <c r="P5" s="30"/>
      <c r="Q5" s="29"/>
      <c r="R5" s="29"/>
      <c r="S5" s="29"/>
      <c r="T5" s="31"/>
      <c r="U5" s="7"/>
      <c r="V5" s="21">
        <v>60.0</v>
      </c>
      <c r="W5" s="21">
        <f t="shared" si="4"/>
        <v>24</v>
      </c>
      <c r="X5" s="21">
        <f t="shared" si="2"/>
        <v>144</v>
      </c>
      <c r="Y5" s="22">
        <f t="shared" si="3"/>
        <v>623.952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>
      <c r="A6" s="23"/>
      <c r="B6" s="24" t="s">
        <v>30</v>
      </c>
      <c r="C6" s="25" t="s">
        <v>31</v>
      </c>
      <c r="D6" s="26">
        <v>60.0</v>
      </c>
      <c r="E6" s="27">
        <v>0.0</v>
      </c>
      <c r="F6" s="27">
        <v>0.0</v>
      </c>
      <c r="G6" s="25">
        <v>18.0</v>
      </c>
      <c r="H6" s="25">
        <f t="shared" si="1"/>
        <v>18</v>
      </c>
      <c r="I6" s="25">
        <v>52.0</v>
      </c>
      <c r="J6" s="25">
        <v>42.0</v>
      </c>
      <c r="K6" s="28">
        <v>46176.0</v>
      </c>
      <c r="L6" s="28">
        <v>46268.0</v>
      </c>
      <c r="M6" s="29"/>
      <c r="N6" s="29"/>
      <c r="O6" s="29"/>
      <c r="P6" s="30"/>
      <c r="Q6" s="29"/>
      <c r="R6" s="29"/>
      <c r="S6" s="29"/>
      <c r="T6" s="31"/>
      <c r="U6" s="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A7" s="23"/>
      <c r="B7" s="24" t="s">
        <v>32</v>
      </c>
      <c r="C7" s="25" t="s">
        <v>31</v>
      </c>
      <c r="D7" s="26">
        <v>180.0</v>
      </c>
      <c r="E7" s="27">
        <v>0.0</v>
      </c>
      <c r="F7" s="25">
        <v>21.0</v>
      </c>
      <c r="G7" s="32">
        <v>0.0</v>
      </c>
      <c r="H7" s="25">
        <f t="shared" si="1"/>
        <v>21</v>
      </c>
      <c r="I7" s="25">
        <v>62.0</v>
      </c>
      <c r="J7" s="25">
        <v>136.0</v>
      </c>
      <c r="K7" s="28">
        <v>46157.0</v>
      </c>
      <c r="L7" s="28">
        <v>46249.0</v>
      </c>
      <c r="M7" s="29"/>
      <c r="N7" s="29"/>
      <c r="O7" s="29"/>
      <c r="P7" s="30"/>
      <c r="Q7" s="29"/>
      <c r="R7" s="29"/>
      <c r="S7" s="29"/>
      <c r="T7" s="31"/>
      <c r="U7" s="7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>
      <c r="A8" s="23"/>
      <c r="B8" s="24" t="s">
        <v>33</v>
      </c>
      <c r="C8" s="25" t="s">
        <v>31</v>
      </c>
      <c r="D8" s="26">
        <v>200.0</v>
      </c>
      <c r="E8" s="27">
        <v>0.0</v>
      </c>
      <c r="F8" s="25">
        <v>29.0</v>
      </c>
      <c r="G8" s="25">
        <v>90.0</v>
      </c>
      <c r="H8" s="25">
        <f t="shared" si="1"/>
        <v>119</v>
      </c>
      <c r="I8" s="25">
        <v>93.0</v>
      </c>
      <c r="J8" s="25">
        <v>76.0</v>
      </c>
      <c r="K8" s="28">
        <v>46175.0</v>
      </c>
      <c r="L8" s="28">
        <v>46267.0</v>
      </c>
      <c r="M8" s="29"/>
      <c r="N8" s="29"/>
      <c r="O8" s="29"/>
      <c r="P8" s="30"/>
      <c r="Q8" s="29"/>
      <c r="R8" s="29"/>
      <c r="S8" s="29"/>
      <c r="T8" s="31"/>
      <c r="U8" s="7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>
      <c r="A9" s="23"/>
      <c r="B9" s="24" t="s">
        <v>34</v>
      </c>
      <c r="C9" s="25" t="s">
        <v>31</v>
      </c>
      <c r="D9" s="26">
        <v>54.0</v>
      </c>
      <c r="E9" s="27">
        <v>0.0</v>
      </c>
      <c r="F9" s="27">
        <v>0.0</v>
      </c>
      <c r="G9" s="25">
        <v>30.0</v>
      </c>
      <c r="H9" s="25">
        <f t="shared" si="1"/>
        <v>30</v>
      </c>
      <c r="I9" s="25">
        <v>97.0</v>
      </c>
      <c r="J9" s="25">
        <v>24.0</v>
      </c>
      <c r="K9" s="28">
        <v>46209.0</v>
      </c>
      <c r="L9" s="28">
        <v>46301.0</v>
      </c>
      <c r="M9" s="29"/>
      <c r="N9" s="29"/>
      <c r="O9" s="29"/>
      <c r="P9" s="30"/>
      <c r="Q9" s="29"/>
      <c r="R9" s="29"/>
      <c r="S9" s="29"/>
      <c r="T9" s="31"/>
      <c r="U9" s="7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>
      <c r="A10" s="33"/>
      <c r="B10" s="34" t="s">
        <v>35</v>
      </c>
      <c r="C10" s="35" t="s">
        <v>31</v>
      </c>
      <c r="D10" s="36">
        <v>60.0</v>
      </c>
      <c r="E10" s="35">
        <v>12.0</v>
      </c>
      <c r="F10" s="35">
        <v>24.0</v>
      </c>
      <c r="G10" s="35">
        <v>24.0</v>
      </c>
      <c r="H10" s="35">
        <f t="shared" si="1"/>
        <v>60</v>
      </c>
      <c r="I10" s="35">
        <v>66.0</v>
      </c>
      <c r="J10" s="37">
        <v>0.0</v>
      </c>
      <c r="K10" s="38">
        <v>46237.0</v>
      </c>
      <c r="L10" s="38">
        <v>46329.0</v>
      </c>
      <c r="M10" s="39"/>
      <c r="N10" s="39"/>
      <c r="O10" s="39"/>
      <c r="P10" s="40"/>
      <c r="Q10" s="39"/>
      <c r="R10" s="39"/>
      <c r="S10" s="39"/>
      <c r="T10" s="41"/>
      <c r="U10" s="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>
      <c r="A11" s="10" t="s">
        <v>36</v>
      </c>
      <c r="B11" s="11" t="s">
        <v>37</v>
      </c>
      <c r="C11" s="12" t="s">
        <v>24</v>
      </c>
      <c r="D11" s="13">
        <v>60.0</v>
      </c>
      <c r="E11" s="12">
        <v>60.0</v>
      </c>
      <c r="F11" s="42">
        <v>0.0</v>
      </c>
      <c r="G11" s="12">
        <v>36.0</v>
      </c>
      <c r="H11" s="43">
        <f t="shared" si="1"/>
        <v>96</v>
      </c>
      <c r="I11" s="12">
        <v>63.0</v>
      </c>
      <c r="J11" s="12">
        <v>24.0</v>
      </c>
      <c r="K11" s="14">
        <v>46170.0</v>
      </c>
      <c r="L11" s="12" t="s">
        <v>25</v>
      </c>
      <c r="M11" s="15">
        <v>9.0</v>
      </c>
      <c r="N11" s="16">
        <f>D11+D12+D13+D14+D15</f>
        <v>520</v>
      </c>
      <c r="O11" s="16">
        <f>D16+D17+D18+D19</f>
        <v>260</v>
      </c>
      <c r="P11" s="16">
        <f>N11+O11</f>
        <v>780</v>
      </c>
      <c r="Q11" s="19">
        <f>P11*100/$Y$2</f>
        <v>75.00576967</v>
      </c>
      <c r="R11" s="15">
        <f>SUM(H11:H19)</f>
        <v>1052</v>
      </c>
      <c r="S11" s="19">
        <f>R11*100/$Y$2</f>
        <v>101.1616278</v>
      </c>
      <c r="T11" s="20">
        <f>SUM(I11:I19)</f>
        <v>1068</v>
      </c>
      <c r="U11" s="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>
      <c r="A12" s="23"/>
      <c r="B12" s="44" t="s">
        <v>38</v>
      </c>
      <c r="C12" s="25" t="s">
        <v>24</v>
      </c>
      <c r="D12" s="26">
        <v>140.0</v>
      </c>
      <c r="E12" s="25">
        <v>91.0</v>
      </c>
      <c r="F12" s="25">
        <v>18.0</v>
      </c>
      <c r="G12" s="25">
        <v>50.0</v>
      </c>
      <c r="H12" s="32">
        <f t="shared" si="1"/>
        <v>159</v>
      </c>
      <c r="I12" s="25">
        <v>137.0</v>
      </c>
      <c r="J12" s="25">
        <v>121.0</v>
      </c>
      <c r="K12" s="28">
        <v>46170.0</v>
      </c>
      <c r="L12" s="25" t="s">
        <v>25</v>
      </c>
      <c r="M12" s="29"/>
      <c r="N12" s="29"/>
      <c r="O12" s="29"/>
      <c r="P12" s="29"/>
      <c r="Q12" s="29"/>
      <c r="R12" s="29"/>
      <c r="S12" s="29"/>
      <c r="T12" s="31"/>
      <c r="U12" s="7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>
      <c r="A13" s="23"/>
      <c r="B13" s="24" t="s">
        <v>39</v>
      </c>
      <c r="C13" s="25" t="s">
        <v>24</v>
      </c>
      <c r="D13" s="26">
        <v>140.0</v>
      </c>
      <c r="E13" s="25">
        <v>255.0</v>
      </c>
      <c r="F13" s="25">
        <v>32.0</v>
      </c>
      <c r="G13" s="25">
        <v>39.0</v>
      </c>
      <c r="H13" s="32">
        <f t="shared" si="1"/>
        <v>326</v>
      </c>
      <c r="I13" s="25">
        <v>138.0</v>
      </c>
      <c r="J13" s="25">
        <v>94.0</v>
      </c>
      <c r="K13" s="28">
        <v>46204.0</v>
      </c>
      <c r="L13" s="25" t="s">
        <v>25</v>
      </c>
      <c r="M13" s="29"/>
      <c r="N13" s="29"/>
      <c r="O13" s="29"/>
      <c r="P13" s="29"/>
      <c r="Q13" s="29"/>
      <c r="R13" s="29"/>
      <c r="S13" s="29"/>
      <c r="T13" s="31"/>
      <c r="U13" s="7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>
      <c r="A14" s="23"/>
      <c r="B14" s="24" t="s">
        <v>40</v>
      </c>
      <c r="C14" s="25" t="s">
        <v>24</v>
      </c>
      <c r="D14" s="26">
        <v>120.0</v>
      </c>
      <c r="E14" s="25">
        <v>28.0</v>
      </c>
      <c r="F14" s="25">
        <v>41.0</v>
      </c>
      <c r="G14" s="25">
        <v>132.0</v>
      </c>
      <c r="H14" s="32">
        <f t="shared" si="1"/>
        <v>201</v>
      </c>
      <c r="I14" s="25">
        <v>166.0</v>
      </c>
      <c r="J14" s="25">
        <v>159.0</v>
      </c>
      <c r="K14" s="28">
        <v>46178.0</v>
      </c>
      <c r="L14" s="25" t="s">
        <v>25</v>
      </c>
      <c r="M14" s="29"/>
      <c r="N14" s="29"/>
      <c r="O14" s="29"/>
      <c r="P14" s="29"/>
      <c r="Q14" s="29"/>
      <c r="R14" s="29"/>
      <c r="S14" s="29"/>
      <c r="T14" s="31"/>
      <c r="U14" s="7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>
      <c r="A15" s="23"/>
      <c r="B15" s="24" t="s">
        <v>41</v>
      </c>
      <c r="C15" s="25" t="s">
        <v>24</v>
      </c>
      <c r="D15" s="26">
        <v>60.0</v>
      </c>
      <c r="E15" s="25">
        <v>31.0</v>
      </c>
      <c r="F15" s="45">
        <v>0.0</v>
      </c>
      <c r="G15" s="32">
        <v>0.0</v>
      </c>
      <c r="H15" s="25">
        <f t="shared" si="1"/>
        <v>31</v>
      </c>
      <c r="I15" s="25">
        <v>214.0</v>
      </c>
      <c r="J15" s="25">
        <v>89.0</v>
      </c>
      <c r="K15" s="28">
        <v>46162.0</v>
      </c>
      <c r="L15" s="25" t="s">
        <v>25</v>
      </c>
      <c r="M15" s="29"/>
      <c r="N15" s="29"/>
      <c r="O15" s="29"/>
      <c r="P15" s="29"/>
      <c r="Q15" s="29"/>
      <c r="R15" s="29"/>
      <c r="S15" s="29"/>
      <c r="T15" s="31"/>
      <c r="U15" s="7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>
      <c r="A16" s="23"/>
      <c r="B16" s="24" t="s">
        <v>42</v>
      </c>
      <c r="C16" s="25" t="s">
        <v>31</v>
      </c>
      <c r="D16" s="26">
        <v>60.0</v>
      </c>
      <c r="E16" s="25">
        <v>60.0</v>
      </c>
      <c r="F16" s="45">
        <v>0.0</v>
      </c>
      <c r="G16" s="25">
        <v>39.0</v>
      </c>
      <c r="H16" s="32">
        <f t="shared" si="1"/>
        <v>99</v>
      </c>
      <c r="I16" s="25">
        <v>132.0</v>
      </c>
      <c r="J16" s="25">
        <v>21.0</v>
      </c>
      <c r="K16" s="28">
        <v>46181.0</v>
      </c>
      <c r="L16" s="28">
        <v>46273.0</v>
      </c>
      <c r="M16" s="29"/>
      <c r="N16" s="29"/>
      <c r="O16" s="29"/>
      <c r="P16" s="29"/>
      <c r="Q16" s="29"/>
      <c r="R16" s="29"/>
      <c r="S16" s="29"/>
      <c r="T16" s="31"/>
      <c r="U16" s="7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>
      <c r="A17" s="23"/>
      <c r="B17" s="24" t="s">
        <v>43</v>
      </c>
      <c r="C17" s="25" t="s">
        <v>31</v>
      </c>
      <c r="D17" s="26">
        <v>60.0</v>
      </c>
      <c r="E17" s="27">
        <v>0.0</v>
      </c>
      <c r="F17" s="27">
        <v>0.0</v>
      </c>
      <c r="G17" s="27">
        <v>0.0</v>
      </c>
      <c r="H17" s="27">
        <f t="shared" si="1"/>
        <v>0</v>
      </c>
      <c r="I17" s="25">
        <v>144.0</v>
      </c>
      <c r="J17" s="25">
        <v>137.0</v>
      </c>
      <c r="K17" s="28">
        <v>46177.0</v>
      </c>
      <c r="L17" s="28">
        <v>46269.0</v>
      </c>
      <c r="M17" s="29"/>
      <c r="N17" s="29"/>
      <c r="O17" s="29"/>
      <c r="P17" s="29"/>
      <c r="Q17" s="29"/>
      <c r="R17" s="29"/>
      <c r="S17" s="29"/>
      <c r="T17" s="31"/>
      <c r="U17" s="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>
      <c r="A18" s="23"/>
      <c r="B18" s="24" t="s">
        <v>44</v>
      </c>
      <c r="C18" s="25" t="s">
        <v>31</v>
      </c>
      <c r="D18" s="26">
        <v>80.0</v>
      </c>
      <c r="E18" s="25">
        <v>0.0</v>
      </c>
      <c r="F18" s="25">
        <v>40.0</v>
      </c>
      <c r="G18" s="25">
        <v>40.0</v>
      </c>
      <c r="H18" s="25">
        <f t="shared" si="1"/>
        <v>80</v>
      </c>
      <c r="I18" s="25">
        <v>44.0</v>
      </c>
      <c r="J18" s="32">
        <v>0.0</v>
      </c>
      <c r="K18" s="28">
        <v>46197.0</v>
      </c>
      <c r="L18" s="28">
        <v>46289.0</v>
      </c>
      <c r="M18" s="29"/>
      <c r="N18" s="29"/>
      <c r="O18" s="29"/>
      <c r="P18" s="29"/>
      <c r="Q18" s="29"/>
      <c r="R18" s="29"/>
      <c r="S18" s="29"/>
      <c r="T18" s="31"/>
      <c r="U18" s="7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>
      <c r="A19" s="33"/>
      <c r="B19" s="34" t="s">
        <v>45</v>
      </c>
      <c r="C19" s="35" t="s">
        <v>31</v>
      </c>
      <c r="D19" s="36">
        <v>60.0</v>
      </c>
      <c r="E19" s="35">
        <v>30.0</v>
      </c>
      <c r="F19" s="35">
        <v>30.0</v>
      </c>
      <c r="G19" s="37">
        <v>0.0</v>
      </c>
      <c r="H19" s="35">
        <f t="shared" si="1"/>
        <v>60</v>
      </c>
      <c r="I19" s="35">
        <v>30.0</v>
      </c>
      <c r="J19" s="37">
        <v>0.0</v>
      </c>
      <c r="K19" s="38">
        <v>46237.0</v>
      </c>
      <c r="L19" s="38">
        <v>46329.0</v>
      </c>
      <c r="M19" s="39"/>
      <c r="N19" s="39"/>
      <c r="O19" s="39"/>
      <c r="P19" s="39"/>
      <c r="Q19" s="39"/>
      <c r="R19" s="39"/>
      <c r="S19" s="39"/>
      <c r="T19" s="41"/>
      <c r="U19" s="7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>
      <c r="A20" s="46" t="s">
        <v>46</v>
      </c>
      <c r="B20" s="47" t="s">
        <v>47</v>
      </c>
      <c r="C20" s="48" t="s">
        <v>24</v>
      </c>
      <c r="D20" s="49">
        <v>80.0</v>
      </c>
      <c r="E20" s="48">
        <v>28.0</v>
      </c>
      <c r="F20" s="48">
        <v>44.0</v>
      </c>
      <c r="G20" s="48">
        <v>36.0</v>
      </c>
      <c r="H20" s="50">
        <f t="shared" si="1"/>
        <v>108</v>
      </c>
      <c r="I20" s="48">
        <v>248.0</v>
      </c>
      <c r="J20" s="48">
        <v>52.0</v>
      </c>
      <c r="K20" s="51">
        <v>46172.0</v>
      </c>
      <c r="L20" s="48" t="s">
        <v>25</v>
      </c>
      <c r="M20" s="52">
        <v>5.0</v>
      </c>
      <c r="N20" s="53">
        <f>D20+D21+D22</f>
        <v>245</v>
      </c>
      <c r="O20" s="53">
        <f>D23+D24</f>
        <v>120</v>
      </c>
      <c r="P20" s="54">
        <f>N20+O20</f>
        <v>365</v>
      </c>
      <c r="Q20" s="55">
        <f>P20*100/$Y$2</f>
        <v>35.09885376</v>
      </c>
      <c r="R20" s="52">
        <f>SUM(H20:H24)</f>
        <v>373</v>
      </c>
      <c r="S20" s="55">
        <f>R20*100/$Y$2</f>
        <v>35.8681437</v>
      </c>
      <c r="T20" s="56">
        <f>SUM(J20:J24)</f>
        <v>1511</v>
      </c>
      <c r="U20" s="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>
      <c r="A21" s="23"/>
      <c r="B21" s="24" t="s">
        <v>48</v>
      </c>
      <c r="C21" s="25" t="s">
        <v>24</v>
      </c>
      <c r="D21" s="26">
        <v>135.0</v>
      </c>
      <c r="E21" s="57">
        <v>135.0</v>
      </c>
      <c r="F21" s="57">
        <v>0.0</v>
      </c>
      <c r="G21" s="57">
        <v>6.0</v>
      </c>
      <c r="H21" s="57">
        <f t="shared" si="1"/>
        <v>141</v>
      </c>
      <c r="I21" s="25">
        <v>66.0</v>
      </c>
      <c r="J21" s="25">
        <v>1231.0</v>
      </c>
      <c r="K21" s="28">
        <v>46154.0</v>
      </c>
      <c r="L21" s="25" t="s">
        <v>25</v>
      </c>
      <c r="M21" s="29"/>
      <c r="N21" s="29"/>
      <c r="O21" s="29"/>
      <c r="P21" s="30"/>
      <c r="Q21" s="29"/>
      <c r="R21" s="29"/>
      <c r="S21" s="29"/>
      <c r="T21" s="31"/>
      <c r="U21" s="7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>
      <c r="A22" s="23"/>
      <c r="B22" s="24" t="s">
        <v>49</v>
      </c>
      <c r="C22" s="25" t="s">
        <v>24</v>
      </c>
      <c r="D22" s="26">
        <v>30.0</v>
      </c>
      <c r="E22" s="27">
        <v>0.0</v>
      </c>
      <c r="F22" s="27">
        <v>0.0</v>
      </c>
      <c r="G22" s="25">
        <v>42.0</v>
      </c>
      <c r="H22" s="32">
        <f t="shared" si="1"/>
        <v>42</v>
      </c>
      <c r="I22" s="25">
        <v>58.0</v>
      </c>
      <c r="J22" s="25">
        <v>198.0</v>
      </c>
      <c r="K22" s="28">
        <v>46162.0</v>
      </c>
      <c r="L22" s="25" t="s">
        <v>25</v>
      </c>
      <c r="M22" s="29"/>
      <c r="N22" s="29"/>
      <c r="O22" s="29"/>
      <c r="P22" s="30"/>
      <c r="Q22" s="29"/>
      <c r="R22" s="29"/>
      <c r="S22" s="29"/>
      <c r="T22" s="31"/>
      <c r="U22" s="7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>
      <c r="A23" s="23"/>
      <c r="B23" s="24" t="s">
        <v>50</v>
      </c>
      <c r="C23" s="25" t="s">
        <v>31</v>
      </c>
      <c r="D23" s="26">
        <v>60.0</v>
      </c>
      <c r="E23" s="27">
        <v>0.0</v>
      </c>
      <c r="F23" s="27">
        <v>0.0</v>
      </c>
      <c r="G23" s="25">
        <v>30.0</v>
      </c>
      <c r="H23" s="25">
        <f t="shared" si="1"/>
        <v>30</v>
      </c>
      <c r="I23" s="25">
        <v>164.0</v>
      </c>
      <c r="J23" s="25">
        <v>30.0</v>
      </c>
      <c r="K23" s="28">
        <v>46174.0</v>
      </c>
      <c r="L23" s="28">
        <v>46266.0</v>
      </c>
      <c r="M23" s="29"/>
      <c r="N23" s="29"/>
      <c r="O23" s="29"/>
      <c r="P23" s="30"/>
      <c r="Q23" s="29"/>
      <c r="R23" s="29"/>
      <c r="S23" s="29"/>
      <c r="T23" s="31"/>
      <c r="U23" s="7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>
      <c r="A24" s="23"/>
      <c r="B24" s="58" t="s">
        <v>51</v>
      </c>
      <c r="C24" s="59" t="s">
        <v>31</v>
      </c>
      <c r="D24" s="60">
        <v>60.0</v>
      </c>
      <c r="E24" s="59">
        <v>32.0</v>
      </c>
      <c r="F24" s="61">
        <v>0.0</v>
      </c>
      <c r="G24" s="59">
        <v>20.0</v>
      </c>
      <c r="H24" s="59">
        <f t="shared" si="1"/>
        <v>52</v>
      </c>
      <c r="I24" s="59">
        <v>40.0</v>
      </c>
      <c r="J24" s="62">
        <v>0.0</v>
      </c>
      <c r="K24" s="63">
        <v>46197.0</v>
      </c>
      <c r="L24" s="63">
        <v>46319.0</v>
      </c>
      <c r="M24" s="39"/>
      <c r="N24" s="39"/>
      <c r="O24" s="39"/>
      <c r="P24" s="40"/>
      <c r="Q24" s="64"/>
      <c r="R24" s="64"/>
      <c r="S24" s="64"/>
      <c r="T24" s="65"/>
      <c r="U24" s="7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>
      <c r="A25" s="10" t="s">
        <v>52</v>
      </c>
      <c r="B25" s="11" t="s">
        <v>53</v>
      </c>
      <c r="C25" s="12" t="s">
        <v>31</v>
      </c>
      <c r="D25" s="13">
        <v>60.0</v>
      </c>
      <c r="E25" s="12">
        <v>29.0</v>
      </c>
      <c r="F25" s="12">
        <v>6.0</v>
      </c>
      <c r="G25" s="43">
        <v>0.0</v>
      </c>
      <c r="H25" s="12">
        <f t="shared" si="1"/>
        <v>35</v>
      </c>
      <c r="I25" s="12">
        <v>48.0</v>
      </c>
      <c r="J25" s="12">
        <v>109.0</v>
      </c>
      <c r="K25" s="14">
        <v>46177.0</v>
      </c>
      <c r="L25" s="14">
        <v>46269.0</v>
      </c>
      <c r="M25" s="15">
        <v>7.0</v>
      </c>
      <c r="N25" s="16">
        <f>D25+D26+D27+D28+D29+D30</f>
        <v>500</v>
      </c>
      <c r="O25" s="16">
        <f>D32+D33+D31</f>
        <v>180</v>
      </c>
      <c r="P25" s="16">
        <f>N25+O25</f>
        <v>680</v>
      </c>
      <c r="Q25" s="19">
        <f>P25*100/$Y$2</f>
        <v>65.38964536</v>
      </c>
      <c r="R25" s="15">
        <f>SUM(H25:H33)</f>
        <v>752</v>
      </c>
      <c r="S25" s="19">
        <f>R25*100/$Y$2</f>
        <v>72.31325487</v>
      </c>
      <c r="T25" s="20">
        <f>SUM(I25:I33)</f>
        <v>948</v>
      </c>
      <c r="U25" s="7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>
      <c r="A26" s="23"/>
      <c r="B26" s="24" t="s">
        <v>54</v>
      </c>
      <c r="C26" s="25" t="s">
        <v>24</v>
      </c>
      <c r="D26" s="26">
        <v>60.0</v>
      </c>
      <c r="E26" s="25">
        <v>120.0</v>
      </c>
      <c r="F26" s="25">
        <v>24.0</v>
      </c>
      <c r="G26" s="25">
        <v>21.0</v>
      </c>
      <c r="H26" s="32">
        <f t="shared" si="1"/>
        <v>165</v>
      </c>
      <c r="I26" s="25">
        <v>132.0</v>
      </c>
      <c r="J26" s="25">
        <v>54.0</v>
      </c>
      <c r="K26" s="28">
        <v>46147.0</v>
      </c>
      <c r="L26" s="25" t="s">
        <v>25</v>
      </c>
      <c r="M26" s="29"/>
      <c r="N26" s="29"/>
      <c r="O26" s="29"/>
      <c r="P26" s="29"/>
      <c r="Q26" s="29"/>
      <c r="R26" s="29"/>
      <c r="S26" s="29"/>
      <c r="T26" s="31"/>
      <c r="U26" s="7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>
      <c r="A27" s="23"/>
      <c r="B27" s="24" t="s">
        <v>55</v>
      </c>
      <c r="C27" s="25" t="s">
        <v>24</v>
      </c>
      <c r="D27" s="26">
        <v>60.0</v>
      </c>
      <c r="E27" s="25">
        <v>62.0</v>
      </c>
      <c r="F27" s="45">
        <v>0.0</v>
      </c>
      <c r="G27" s="25">
        <v>48.0</v>
      </c>
      <c r="H27" s="32">
        <f t="shared" si="1"/>
        <v>110</v>
      </c>
      <c r="I27" s="25">
        <v>159.0</v>
      </c>
      <c r="J27" s="25">
        <v>70.0</v>
      </c>
      <c r="K27" s="28">
        <v>46160.0</v>
      </c>
      <c r="L27" s="25" t="s">
        <v>25</v>
      </c>
      <c r="M27" s="29"/>
      <c r="N27" s="29"/>
      <c r="O27" s="29"/>
      <c r="P27" s="29"/>
      <c r="Q27" s="29"/>
      <c r="R27" s="29"/>
      <c r="S27" s="29"/>
      <c r="T27" s="31"/>
      <c r="U27" s="7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>
      <c r="A28" s="23"/>
      <c r="B28" s="24" t="s">
        <v>56</v>
      </c>
      <c r="C28" s="25" t="s">
        <v>24</v>
      </c>
      <c r="D28" s="26">
        <v>100.0</v>
      </c>
      <c r="E28" s="25">
        <v>132.0</v>
      </c>
      <c r="F28" s="25">
        <v>30.0</v>
      </c>
      <c r="G28" s="25">
        <v>39.0</v>
      </c>
      <c r="H28" s="32">
        <f t="shared" si="1"/>
        <v>201</v>
      </c>
      <c r="I28" s="25">
        <v>184.0</v>
      </c>
      <c r="J28" s="25">
        <v>108.0</v>
      </c>
      <c r="K28" s="28">
        <v>46164.0</v>
      </c>
      <c r="L28" s="25" t="s">
        <v>25</v>
      </c>
      <c r="M28" s="29"/>
      <c r="N28" s="29"/>
      <c r="O28" s="29"/>
      <c r="P28" s="29"/>
      <c r="Q28" s="29"/>
      <c r="R28" s="29"/>
      <c r="S28" s="29"/>
      <c r="T28" s="31"/>
      <c r="U28" s="7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>
      <c r="A29" s="23"/>
      <c r="B29" s="24" t="s">
        <v>57</v>
      </c>
      <c r="C29" s="25" t="s">
        <v>24</v>
      </c>
      <c r="D29" s="26">
        <v>60.0</v>
      </c>
      <c r="E29" s="25">
        <v>4.0</v>
      </c>
      <c r="F29" s="25">
        <v>6.0</v>
      </c>
      <c r="G29" s="25">
        <v>45.0</v>
      </c>
      <c r="H29" s="25">
        <f t="shared" si="1"/>
        <v>55</v>
      </c>
      <c r="I29" s="25">
        <v>60.0</v>
      </c>
      <c r="J29" s="25">
        <v>30.0</v>
      </c>
      <c r="K29" s="28">
        <v>46188.0</v>
      </c>
      <c r="L29" s="25" t="s">
        <v>25</v>
      </c>
      <c r="M29" s="29"/>
      <c r="N29" s="29"/>
      <c r="O29" s="29"/>
      <c r="P29" s="29"/>
      <c r="Q29" s="29"/>
      <c r="R29" s="29"/>
      <c r="S29" s="29"/>
      <c r="T29" s="31"/>
      <c r="U29" s="7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>
      <c r="A30" s="23"/>
      <c r="B30" s="24" t="s">
        <v>58</v>
      </c>
      <c r="C30" s="25" t="s">
        <v>24</v>
      </c>
      <c r="D30" s="26">
        <v>160.0</v>
      </c>
      <c r="E30" s="25">
        <v>17.0</v>
      </c>
      <c r="F30" s="45">
        <v>0.0</v>
      </c>
      <c r="G30" s="25">
        <v>44.0</v>
      </c>
      <c r="H30" s="25">
        <f t="shared" si="1"/>
        <v>61</v>
      </c>
      <c r="I30" s="25">
        <v>160.0</v>
      </c>
      <c r="J30" s="25">
        <v>99.0</v>
      </c>
      <c r="K30" s="28">
        <v>46192.0</v>
      </c>
      <c r="L30" s="25" t="s">
        <v>25</v>
      </c>
      <c r="M30" s="29"/>
      <c r="N30" s="29"/>
      <c r="O30" s="29"/>
      <c r="P30" s="29"/>
      <c r="Q30" s="29"/>
      <c r="R30" s="29"/>
      <c r="S30" s="29"/>
      <c r="T30" s="31"/>
      <c r="U30" s="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>
      <c r="A31" s="23"/>
      <c r="B31" s="24" t="s">
        <v>53</v>
      </c>
      <c r="C31" s="25" t="s">
        <v>31</v>
      </c>
      <c r="D31" s="26">
        <v>60.0</v>
      </c>
      <c r="E31" s="25">
        <v>29.0</v>
      </c>
      <c r="F31" s="25">
        <v>6.0</v>
      </c>
      <c r="G31" s="32">
        <v>0.0</v>
      </c>
      <c r="H31" s="25">
        <f t="shared" si="1"/>
        <v>35</v>
      </c>
      <c r="I31" s="25">
        <v>48.0</v>
      </c>
      <c r="J31" s="25">
        <v>109.0</v>
      </c>
      <c r="K31" s="28">
        <v>46177.0</v>
      </c>
      <c r="L31" s="28">
        <v>46269.0</v>
      </c>
      <c r="M31" s="29"/>
      <c r="N31" s="29"/>
      <c r="O31" s="29"/>
      <c r="P31" s="29"/>
      <c r="Q31" s="29"/>
      <c r="R31" s="29"/>
      <c r="S31" s="29"/>
      <c r="T31" s="31"/>
      <c r="U31" s="7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>
      <c r="A32" s="23"/>
      <c r="B32" s="24" t="s">
        <v>59</v>
      </c>
      <c r="C32" s="25" t="s">
        <v>31</v>
      </c>
      <c r="D32" s="26">
        <v>60.0</v>
      </c>
      <c r="E32" s="25">
        <v>60.0</v>
      </c>
      <c r="F32" s="45">
        <v>0.0</v>
      </c>
      <c r="G32" s="32">
        <v>0.0</v>
      </c>
      <c r="H32" s="25">
        <f t="shared" si="1"/>
        <v>60</v>
      </c>
      <c r="I32" s="25">
        <v>130.0</v>
      </c>
      <c r="J32" s="25">
        <v>60.0</v>
      </c>
      <c r="K32" s="28">
        <v>46181.0</v>
      </c>
      <c r="L32" s="28">
        <v>46333.0</v>
      </c>
      <c r="M32" s="29"/>
      <c r="N32" s="29"/>
      <c r="O32" s="29"/>
      <c r="P32" s="29"/>
      <c r="Q32" s="29"/>
      <c r="R32" s="29"/>
      <c r="S32" s="29"/>
      <c r="T32" s="31"/>
      <c r="U32" s="7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>
      <c r="A33" s="33"/>
      <c r="B33" s="34" t="s">
        <v>60</v>
      </c>
      <c r="C33" s="35" t="s">
        <v>31</v>
      </c>
      <c r="D33" s="36">
        <v>60.0</v>
      </c>
      <c r="E33" s="35">
        <v>12.0</v>
      </c>
      <c r="F33" s="35">
        <v>9.0</v>
      </c>
      <c r="G33" s="35">
        <v>9.0</v>
      </c>
      <c r="H33" s="35">
        <f t="shared" si="1"/>
        <v>30</v>
      </c>
      <c r="I33" s="35">
        <v>27.0</v>
      </c>
      <c r="J33" s="35">
        <v>30.0</v>
      </c>
      <c r="K33" s="38">
        <v>46217.0</v>
      </c>
      <c r="L33" s="38">
        <v>46309.0</v>
      </c>
      <c r="M33" s="39"/>
      <c r="N33" s="39"/>
      <c r="O33" s="39"/>
      <c r="P33" s="39"/>
      <c r="Q33" s="39"/>
      <c r="R33" s="39"/>
      <c r="S33" s="39"/>
      <c r="T33" s="41"/>
      <c r="U33" s="7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</sheetData>
  <autoFilter ref="$A$1:$T$33"/>
  <mergeCells count="36">
    <mergeCell ref="N2:N10"/>
    <mergeCell ref="M20:M24"/>
    <mergeCell ref="N20:N24"/>
    <mergeCell ref="O2:O10"/>
    <mergeCell ref="M25:M33"/>
    <mergeCell ref="N25:N33"/>
    <mergeCell ref="O25:O33"/>
    <mergeCell ref="P25:P33"/>
    <mergeCell ref="Q25:Q33"/>
    <mergeCell ref="S25:S33"/>
    <mergeCell ref="T25:T33"/>
    <mergeCell ref="A2:A10"/>
    <mergeCell ref="P2:P10"/>
    <mergeCell ref="Q2:Q10"/>
    <mergeCell ref="R2:R10"/>
    <mergeCell ref="A11:A19"/>
    <mergeCell ref="A20:A24"/>
    <mergeCell ref="A25:A33"/>
    <mergeCell ref="R25:R33"/>
    <mergeCell ref="S2:S10"/>
    <mergeCell ref="T2:T10"/>
    <mergeCell ref="M2:M10"/>
    <mergeCell ref="M11:M19"/>
    <mergeCell ref="N11:N19"/>
    <mergeCell ref="O11:O19"/>
    <mergeCell ref="P11:P19"/>
    <mergeCell ref="Q11:Q19"/>
    <mergeCell ref="R11:R19"/>
    <mergeCell ref="S11:S19"/>
    <mergeCell ref="T11:T19"/>
    <mergeCell ref="O20:O24"/>
    <mergeCell ref="P20:P24"/>
    <mergeCell ref="Q20:Q24"/>
    <mergeCell ref="R20:R24"/>
    <mergeCell ref="S20:S24"/>
    <mergeCell ref="T20:T24"/>
  </mergeCells>
  <drawing r:id="rId1"/>
</worksheet>
</file>